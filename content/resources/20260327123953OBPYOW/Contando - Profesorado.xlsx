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as en un m^2 " sheetId="1" r:id="rId4"/>
    <sheet state="visible" name="Estimación de personas (en la f" sheetId="2" r:id="rId5"/>
    <sheet state="visible" name="Rúbrica de la actividad" sheetId="3" r:id="rId6"/>
  </sheets>
  <definedNames/>
  <calcPr/>
</workbook>
</file>

<file path=xl/sharedStrings.xml><?xml version="1.0" encoding="utf-8"?>
<sst xmlns="http://schemas.openxmlformats.org/spreadsheetml/2006/main" count="79" uniqueCount="48">
  <si>
    <t>ESTIMACIÓN DE PERSONAS POR METRO CUADRADO</t>
  </si>
  <si>
    <t>Nº personas por m2</t>
  </si>
  <si>
    <t>Muestra 1</t>
  </si>
  <si>
    <t>Muestra 2</t>
  </si>
  <si>
    <t>Máximo</t>
  </si>
  <si>
    <t>Muestra 3</t>
  </si>
  <si>
    <t>Mediana</t>
  </si>
  <si>
    <t>Muestra 4</t>
  </si>
  <si>
    <t>Media</t>
  </si>
  <si>
    <t>Muestra 5</t>
  </si>
  <si>
    <t>Mínimo</t>
  </si>
  <si>
    <t>Muestra 6</t>
  </si>
  <si>
    <t>Muestra 7</t>
  </si>
  <si>
    <t>Muestra 8</t>
  </si>
  <si>
    <t>Muestra 9</t>
  </si>
  <si>
    <t>Muestra 10</t>
  </si>
  <si>
    <t>Estimación de cuántas muestras serían necesarias</t>
  </si>
  <si>
    <t>Nº personas contabilizadas</t>
  </si>
  <si>
    <t>Nº muestras</t>
  </si>
  <si>
    <t>Nº personas en la aglomeración</t>
  </si>
  <si>
    <t xml:space="preserve">Esta rúbrica se puede usar en google classroom </t>
  </si>
  <si>
    <t>¿Cuántas personas caben m^2?</t>
  </si>
  <si>
    <t>Comprobar si desarrolla bien el cálculo</t>
  </si>
  <si>
    <t>3.0</t>
  </si>
  <si>
    <t>2.0</t>
  </si>
  <si>
    <t>0.0</t>
  </si>
  <si>
    <t>Excelente</t>
  </si>
  <si>
    <t>Medio</t>
  </si>
  <si>
    <t>Bajo</t>
  </si>
  <si>
    <t>Realiza la toma de datos y el cálculo de todos los parámetros bien</t>
  </si>
  <si>
    <t>Toma bien los datos pero hace algún calculo mal</t>
  </si>
  <si>
    <t>O no lo hace o lo hace inventándose los datos</t>
  </si>
  <si>
    <t>Simulador y cálculo de superficie</t>
  </si>
  <si>
    <t>Los datos obtenidos se aplican de forma correcta y calcula correctamente la superficie</t>
  </si>
  <si>
    <t>1.0</t>
  </si>
  <si>
    <t>Entiende y aplica correctamente el simulador, obteniendo datos coherentes y es capz de hallar la superficie a estudiar</t>
  </si>
  <si>
    <t>Aunque entiende el proceso comete algun error en los cálculos</t>
  </si>
  <si>
    <t>Lo hace, pero ni analiza bien los datos y/o calcula de forma incorrecta la superficie</t>
  </si>
  <si>
    <t>Análisis de los datos</t>
  </si>
  <si>
    <t>A partir de todos los apartados anteriores, sirven para analizar los resultados</t>
  </si>
  <si>
    <t>Halla una buena aproximación usando los apartados anteriores</t>
  </si>
  <si>
    <t>Aunque el proceso es correcto la solución o no es coherente o se alejja demasido del valor real</t>
  </si>
  <si>
    <t>No contesta o lo hace sin tomar como referencia los datos obtenidos</t>
  </si>
  <si>
    <t>Trabajo  y actitud</t>
  </si>
  <si>
    <t>Saber si se sabe trabajar</t>
  </si>
  <si>
    <t>Trabaja bien tanto individualmente como en equipo y muestra buena actitud al trabajo</t>
  </si>
  <si>
    <t>Trabaja tanto individualmente como en equipo y muestra actitud al trabajo</t>
  </si>
  <si>
    <t>No colabora o no trabaja como debería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</si>
</sst>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7" fillId="3" fontId="3" numFmtId="0" xfId="0" applyAlignment="1" applyBorder="1" applyFill="1" applyFont="1">
      <alignment readingOrder="0"/>
    </xf>
    <xf borderId="7" fillId="4" fontId="3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1" fillId="5" fontId="4" numFmtId="0" xfId="0" applyAlignment="1" applyBorder="1" applyFill="1" applyFont="1">
      <alignment horizontal="center" readingOrder="0" shrinkToFit="0" wrapText="1"/>
    </xf>
    <xf borderId="7" fillId="3" fontId="3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2" numFmtId="0" xfId="0" applyBorder="1" applyFont="1"/>
    <xf borderId="7" fillId="4" fontId="3" numFmtId="0" xfId="0" applyBorder="1" applyFont="1"/>
    <xf borderId="8" fillId="6" fontId="1" numFmtId="0" xfId="0" applyAlignment="1" applyBorder="1" applyFill="1" applyFont="1">
      <alignment horizontal="center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7" fontId="5" numFmtId="0" xfId="0" applyAlignment="1" applyFill="1" applyFont="1">
      <alignment vertical="bottom"/>
    </xf>
    <xf borderId="0" fillId="3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Nº personas en un m2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'Personas en un m^2 '!$B$4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'Personas en un m^2 '!$A$5:$A$14</c:f>
            </c:strRef>
          </c:cat>
          <c:val>
            <c:numRef>
              <c:f>'Personas en un m^2 '!$B$5:$B$14</c:f>
              <c:numCache/>
            </c:numRef>
          </c:val>
        </c:ser>
        <c:axId val="736508571"/>
        <c:axId val="93474575"/>
      </c:barChart>
      <c:catAx>
        <c:axId val="736508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74575"/>
      </c:catAx>
      <c:valAx>
        <c:axId val="93474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personas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6508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'Personas en un m^2 '!$D$6:$D$9</c:f>
            </c:strRef>
          </c:cat>
          <c:val>
            <c:numRef>
              <c:f>'Personas en un m^2 '!$E$6:$E$9</c:f>
              <c:numCache/>
            </c:numRef>
          </c:val>
        </c:ser>
        <c:axId val="76061200"/>
        <c:axId val="1445528540"/>
      </c:barChart>
      <c:catAx>
        <c:axId val="76061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528540"/>
      </c:catAx>
      <c:valAx>
        <c:axId val="1445528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0612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Nº personas a estimar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'Estimación de personas (en la f'!$B$4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'Estimación de personas (en la f'!$A$5:$A$14</c:f>
            </c:strRef>
          </c:cat>
          <c:val>
            <c:numRef>
              <c:f>'Estimación de personas (en la f'!$B$5:$B$14</c:f>
              <c:numCache/>
            </c:numRef>
          </c:val>
        </c:ser>
        <c:axId val="2091508113"/>
        <c:axId val="1050215829"/>
      </c:barChart>
      <c:catAx>
        <c:axId val="2091508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215829"/>
      </c:catAx>
      <c:valAx>
        <c:axId val="1050215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Nº personas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5081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Nº de personas presentes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8E7CC3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8E7CC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'Estimación de personas (en la f'!$D$8:$D$11</c:f>
            </c:strRef>
          </c:cat>
          <c:val>
            <c:numRef>
              <c:f>'Estimación de personas (en la f'!$G$8:$G$11</c:f>
              <c:numCache/>
            </c:numRef>
          </c:val>
        </c:ser>
        <c:ser>
          <c:idx val="1"/>
          <c:order val="1"/>
          <c:cat>
            <c:strRef>
              <c:f>'Estimación de personas (en la f'!$D$8:$D$11</c:f>
            </c:strRef>
          </c:cat>
          <c:val>
            <c:numRef>
              <c:f>'Estimación de personas (en la f'!$H$8:$H$11</c:f>
              <c:numCache/>
            </c:numRef>
          </c:val>
        </c:ser>
        <c:axId val="2106707070"/>
        <c:axId val="1526005990"/>
      </c:barChart>
      <c:catAx>
        <c:axId val="2106707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6005990"/>
      </c:catAx>
      <c:valAx>
        <c:axId val="15260059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707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14</xdr:row>
      <xdr:rowOff>133350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171450</xdr:colOff>
      <xdr:row>1</xdr:row>
      <xdr:rowOff>200025</xdr:rowOff>
    </xdr:from>
    <xdr:ext cx="3648075" cy="225742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16</xdr:row>
      <xdr:rowOff>123825</xdr:rowOff>
    </xdr:from>
    <xdr:ext cx="5124450" cy="31623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676275</xdr:colOff>
      <xdr:row>16</xdr:row>
      <xdr:rowOff>123825</xdr:rowOff>
    </xdr:from>
    <xdr:ext cx="3952875" cy="24384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75"/>
  </cols>
  <sheetData>
    <row r="1">
      <c r="B1" s="1" t="s">
        <v>0</v>
      </c>
      <c r="C1" s="2"/>
      <c r="D1" s="2"/>
      <c r="E1" s="3"/>
    </row>
    <row r="2">
      <c r="B2" s="4"/>
      <c r="C2" s="5"/>
      <c r="D2" s="5"/>
      <c r="E2" s="6"/>
    </row>
    <row r="4">
      <c r="A4" s="7"/>
      <c r="B4" s="8" t="s">
        <v>1</v>
      </c>
    </row>
    <row r="5">
      <c r="A5" s="9" t="s">
        <v>2</v>
      </c>
      <c r="B5" s="10">
        <v>6.0</v>
      </c>
    </row>
    <row r="6">
      <c r="A6" s="9" t="s">
        <v>3</v>
      </c>
      <c r="B6" s="10">
        <v>6.0</v>
      </c>
      <c r="D6" s="9" t="s">
        <v>4</v>
      </c>
      <c r="E6" s="11">
        <f>max(B5:B14)</f>
        <v>8</v>
      </c>
    </row>
    <row r="7">
      <c r="A7" s="9" t="s">
        <v>5</v>
      </c>
      <c r="B7" s="10">
        <v>7.0</v>
      </c>
      <c r="D7" s="9" t="s">
        <v>6</v>
      </c>
      <c r="E7" s="11">
        <f>MEDIAN(B5:B14)</f>
        <v>6</v>
      </c>
    </row>
    <row r="8">
      <c r="A8" s="9" t="s">
        <v>7</v>
      </c>
      <c r="B8" s="10">
        <v>8.0</v>
      </c>
      <c r="D8" s="9" t="s">
        <v>8</v>
      </c>
      <c r="E8" s="11">
        <f>AVERAGE(B5:B14)</f>
        <v>6.4</v>
      </c>
    </row>
    <row r="9">
      <c r="A9" s="9" t="s">
        <v>9</v>
      </c>
      <c r="B9" s="10">
        <v>6.0</v>
      </c>
      <c r="D9" s="9" t="s">
        <v>10</v>
      </c>
      <c r="E9" s="11">
        <f>MIN(B5:B14)</f>
        <v>5</v>
      </c>
    </row>
    <row r="10">
      <c r="A10" s="9" t="s">
        <v>11</v>
      </c>
      <c r="B10" s="10">
        <v>5.0</v>
      </c>
    </row>
    <row r="11">
      <c r="A11" s="9" t="s">
        <v>12</v>
      </c>
      <c r="B11" s="10">
        <v>6.0</v>
      </c>
    </row>
    <row r="12">
      <c r="A12" s="9" t="s">
        <v>13</v>
      </c>
      <c r="B12" s="10">
        <v>6.0</v>
      </c>
    </row>
    <row r="13">
      <c r="A13" s="9" t="s">
        <v>14</v>
      </c>
      <c r="B13" s="10">
        <v>7.0</v>
      </c>
    </row>
    <row r="14">
      <c r="A14" s="9" t="s">
        <v>15</v>
      </c>
      <c r="B14" s="10">
        <v>7.0</v>
      </c>
    </row>
  </sheetData>
  <mergeCells count="1">
    <mergeCell ref="B1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8" max="8" width="14.38"/>
  </cols>
  <sheetData>
    <row r="1">
      <c r="B1" s="12"/>
    </row>
    <row r="2">
      <c r="D2" s="13" t="s">
        <v>16</v>
      </c>
      <c r="E2" s="2"/>
      <c r="F2" s="3"/>
    </row>
    <row r="3">
      <c r="D3" s="4"/>
      <c r="E3" s="5"/>
      <c r="F3" s="6"/>
    </row>
    <row r="4">
      <c r="A4" s="7"/>
      <c r="B4" s="8" t="s">
        <v>17</v>
      </c>
    </row>
    <row r="5">
      <c r="A5" s="9" t="s">
        <v>2</v>
      </c>
      <c r="B5" s="14">
        <v>6.0</v>
      </c>
      <c r="D5" s="9" t="s">
        <v>18</v>
      </c>
      <c r="E5" s="10">
        <v>650.0</v>
      </c>
    </row>
    <row r="6">
      <c r="A6" s="9" t="s">
        <v>3</v>
      </c>
      <c r="B6" s="14">
        <v>7.0</v>
      </c>
    </row>
    <row r="7">
      <c r="A7" s="9" t="s">
        <v>5</v>
      </c>
      <c r="B7" s="14">
        <v>8.0</v>
      </c>
      <c r="G7" s="15" t="s">
        <v>19</v>
      </c>
      <c r="H7" s="16"/>
    </row>
    <row r="8">
      <c r="A8" s="9" t="s">
        <v>7</v>
      </c>
      <c r="B8" s="14">
        <v>5.0</v>
      </c>
      <c r="D8" s="9" t="s">
        <v>10</v>
      </c>
      <c r="E8" s="17">
        <f>MIN(B5:B14)</f>
        <v>4</v>
      </c>
      <c r="G8" s="18">
        <f>E8*E5</f>
        <v>2600</v>
      </c>
      <c r="H8" s="16"/>
    </row>
    <row r="9">
      <c r="A9" s="9" t="s">
        <v>9</v>
      </c>
      <c r="B9" s="14">
        <v>6.0</v>
      </c>
      <c r="D9" s="9" t="s">
        <v>4</v>
      </c>
      <c r="E9" s="17">
        <f>MAX(B5:B14)</f>
        <v>8</v>
      </c>
      <c r="G9" s="18">
        <f>E9*E5</f>
        <v>5200</v>
      </c>
      <c r="H9" s="16"/>
    </row>
    <row r="10">
      <c r="A10" s="9" t="s">
        <v>11</v>
      </c>
      <c r="B10" s="14">
        <v>4.0</v>
      </c>
      <c r="D10" s="9" t="s">
        <v>6</v>
      </c>
      <c r="E10" s="17">
        <f>MEDIAN(B5:B14)</f>
        <v>6</v>
      </c>
      <c r="G10" s="18">
        <f>E10*E5</f>
        <v>3900</v>
      </c>
      <c r="H10" s="16"/>
    </row>
    <row r="11">
      <c r="A11" s="9" t="s">
        <v>12</v>
      </c>
      <c r="B11" s="14">
        <v>8.0</v>
      </c>
      <c r="D11" s="9" t="s">
        <v>8</v>
      </c>
      <c r="E11" s="17">
        <f>AVERAGE(B5:B14)</f>
        <v>6</v>
      </c>
      <c r="G11" s="18">
        <f>E11*E5</f>
        <v>3900</v>
      </c>
      <c r="H11" s="16"/>
    </row>
    <row r="12">
      <c r="A12" s="9" t="s">
        <v>13</v>
      </c>
      <c r="B12" s="14">
        <v>7.0</v>
      </c>
    </row>
    <row r="13">
      <c r="A13" s="9" t="s">
        <v>14</v>
      </c>
      <c r="B13" s="14">
        <v>5.0</v>
      </c>
    </row>
    <row r="14">
      <c r="A14" s="9" t="s">
        <v>15</v>
      </c>
      <c r="B14" s="14">
        <v>4.0</v>
      </c>
    </row>
  </sheetData>
  <mergeCells count="6">
    <mergeCell ref="D2:F3"/>
    <mergeCell ref="G7:H7"/>
    <mergeCell ref="G8:H8"/>
    <mergeCell ref="G9:H9"/>
    <mergeCell ref="G10:H10"/>
    <mergeCell ref="G11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8.0"/>
  </cols>
  <sheetData>
    <row r="1">
      <c r="A1" s="19" t="s">
        <v>20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1" t="s">
        <v>21</v>
      </c>
      <c r="B3" s="21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9" t="s">
        <v>22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0"/>
      <c r="B5" s="22" t="s">
        <v>23</v>
      </c>
      <c r="C5" s="22" t="s">
        <v>24</v>
      </c>
      <c r="D5" s="22" t="s">
        <v>25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0"/>
      <c r="B6" s="23" t="s">
        <v>26</v>
      </c>
      <c r="C6" s="23" t="s">
        <v>27</v>
      </c>
      <c r="D6" s="23" t="s">
        <v>28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0"/>
      <c r="B7" s="24" t="s">
        <v>29</v>
      </c>
      <c r="C7" s="24" t="s">
        <v>30</v>
      </c>
      <c r="D7" s="24" t="s">
        <v>31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32</v>
      </c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9" t="s">
        <v>33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0"/>
      <c r="B10" s="22" t="s">
        <v>24</v>
      </c>
      <c r="C10" s="22" t="s">
        <v>34</v>
      </c>
      <c r="D10" s="22" t="s">
        <v>25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3" t="s">
        <v>26</v>
      </c>
      <c r="C11" s="23" t="s">
        <v>27</v>
      </c>
      <c r="D11" s="23" t="s">
        <v>28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4" t="s">
        <v>35</v>
      </c>
      <c r="C12" s="24" t="s">
        <v>36</v>
      </c>
      <c r="D12" s="24" t="s">
        <v>37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1" t="s">
        <v>38</v>
      </c>
      <c r="B13" s="21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5" t="s">
        <v>39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2" t="s">
        <v>24</v>
      </c>
      <c r="C15" s="22" t="s">
        <v>34</v>
      </c>
      <c r="D15" s="22" t="s">
        <v>25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3" t="s">
        <v>26</v>
      </c>
      <c r="C16" s="23" t="s">
        <v>27</v>
      </c>
      <c r="D16" s="23" t="s">
        <v>28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4" t="s">
        <v>40</v>
      </c>
      <c r="C17" s="24" t="s">
        <v>41</v>
      </c>
      <c r="D17" s="24" t="s">
        <v>42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43</v>
      </c>
      <c r="B18" s="21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6" t="s">
        <v>44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2" t="s">
        <v>23</v>
      </c>
      <c r="C20" s="22" t="s">
        <v>24</v>
      </c>
      <c r="D20" s="22" t="s">
        <v>25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3" t="s">
        <v>26</v>
      </c>
      <c r="C21" s="23" t="s">
        <v>27</v>
      </c>
      <c r="D21" s="23" t="s">
        <v>28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7" t="s">
        <v>45</v>
      </c>
      <c r="C22" s="27" t="s">
        <v>46</v>
      </c>
      <c r="D22" s="27" t="s">
        <v>47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mergeCells count="1">
    <mergeCell ref="A1:E1"/>
  </mergeCells>
  <drawing r:id="rId1"/>
</worksheet>
</file>